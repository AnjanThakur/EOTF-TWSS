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6a59ee682044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771ea25fcbb4e90"/>
    <x:sheet xmlns:r="http://schemas.openxmlformats.org/officeDocument/2006/relationships" name="Channel statistics" sheetId="2" r:id="R8178b00c90f14c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"/>
    <x:numFmt numFmtId="202" formatCode="0"/>
    <x:numFmt numFmtId="203" formatCode="0.00000"/>
    <x:numFmt numFmtId="204" formatCode="0.00%"/>
  </x:numFmts>
  <x:fonts count="6">
    <x:font>
      <x:sz val="11"/>
      <x:name val="Carlito"/>
    </x:font>
    <x:font>
      <x:sz val="10"/>
      <x:color rgb="FF172033"/>
      <x:name val="Arial"/>
    </x:font>
    <x:font>
      <x:b/>
      <x:sz val="16"/>
      <x:color rgb="FF172033"/>
      <x:name val="Arial"/>
    </x:font>
    <x:font>
      <x:i/>
      <x:sz val="10"/>
      <x:color rgb="FF526177"/>
      <x:name val="Arial"/>
    </x:font>
    <x:font>
      <x:b/>
      <x:sz val="10"/>
      <x:color rgb="FFFFFFFF"/>
      <x:name val="Arial"/>
    </x:font>
    <x:font>
      <x:b/>
      <x:sz val="10"/>
      <x:color rgb="FF1720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B62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9AA9BE"/>
      </x:top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203" fontId="1" fillId="0" borderId="0" xfId="0" applyNumberFormat="1" applyFont="1" applyFill="1" applyBorder="1"/>
    <x:xf numFmtId="200" fontId="1" fillId="0" borderId="0" xfId="0" applyNumberFormat="1" applyFont="1" applyFill="1" applyBorder="1"/>
    <x:xf numFmtId="204" fontId="1" fillId="0" borderId="0" xfId="0" applyNumberFormat="1" applyFont="1" applyFill="1" applyBorder="1"/>
  </x:cellXfs>
  <x:cellStyles count="1">
    <x:cellStyle name="Normal" xfId="0"/>
  </x:cellStyles>
  <x:dxfs count="3"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7C4A03"/>
      </x:font>
      <x:fill>
        <x:patternFill patternType="solid">
          <x:bgColor rgb="FFFFF2CC"/>
        </x:patternFill>
      </x:fill>
    </x:dxf>
    <x:dxf>
      <x:fill>
        <x:patternFill patternType="solid">
          <x:bgColor rgb="FFFFF7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690e6dbb31400e" /><Relationship Type="http://schemas.openxmlformats.org/officeDocument/2006/relationships/theme" Target="/xl/theme/theme1.xml" Id="Rf9c59e77c5804dd7" /><Relationship Type="http://schemas.openxmlformats.org/officeDocument/2006/relationships/sharedStrings" Target="/xl/sharedStrings.xml" Id="R8e6d845155dd4f3e" /><Relationship Type="http://schemas.openxmlformats.org/officeDocument/2006/relationships/worksheet" Target="/xl/worksheets/sheet1.xml" Id="Rc771ea25fcbb4e90" /><Relationship Type="http://schemas.openxmlformats.org/officeDocument/2006/relationships/worksheet" Target="/xl/worksheets/sheet2.xml" Id="R8178b00c90f14c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3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8" hidden="0" customWidth="1"/>
  </x:cols>
  <x:sheetData>
    <x:row r="2" ht="23" customHeight="1">
      <x:c r="B2" s="3" t="str">
        <x:v>NPG recording quality</x:v>
      </x:c>
      <x:c r="C2" s="2"/>
      <x:c r="D2" s="2"/>
      <x:c r="E2" s="2"/>
      <x:c r="F2" s="2"/>
      <x:c r="G2" s="2"/>
      <x:c r="H2" s="2"/>
    </x:row>
    <x:row r="3" ht="23" customHeight="1">
      <x:c r="B3" s="2"/>
      <x:c r="C3" s="2"/>
      <x:c r="D3" s="2"/>
      <x:c r="E3" s="2"/>
      <x:c r="F3" s="2"/>
      <x:c r="G3" s="2"/>
      <x:c r="H3" s="2"/>
    </x:row>
    <x:row r="4" ht="23" customHeight="1">
      <x:c r="B4" s="4" t="str">
        <x:v>Six exported recordings. YES/NO answers included speaking.</x:v>
      </x:c>
      <x:c r="C4" s="2"/>
      <x:c r="D4" s="2"/>
      <x:c r="E4" s="2"/>
      <x:c r="F4" s="2"/>
      <x:c r="G4" s="2"/>
      <x:c r="H4" s="2"/>
    </x:row>
    <x:row r="5" ht="23" customHeight="1">
      <x:c r="B5" s="2"/>
      <x:c r="C5" s="2"/>
      <x:c r="D5" s="2"/>
      <x:c r="E5" s="2"/>
      <x:c r="F5" s="2"/>
      <x:c r="G5" s="2"/>
      <x:c r="H5" s="2"/>
    </x:row>
    <x:row r="6" ht="23" customHeight="1">
      <x:c r="B6" s="2"/>
      <x:c r="C6" s="2"/>
      <x:c r="D6" s="2"/>
      <x:c r="E6" s="2"/>
      <x:c r="F6" s="2"/>
      <x:c r="G6" s="2"/>
      <x:c r="H6" s="2"/>
    </x:row>
    <x:row r="7" ht="36" customHeight="1">
      <x:c r="B7" s="8" t="str">
        <x:v>Recording</x:v>
      </x:c>
      <x:c r="C7" s="8" t="str">
        <x:v>Sample rows</x:v>
      </x:c>
      <x:c r="D7" s="8" t="str">
        <x:v>Invalid cells</x:v>
      </x:c>
      <x:c r="E7" s="8" t="str">
        <x:v>Counter breaks</x:v>
      </x:c>
      <x:c r="F7" s="8" t="str">
        <x:v>Segments</x:v>
      </x:c>
      <x:c r="G7" s="8" t="str">
        <x:v>Flagged rows</x:v>
      </x:c>
      <x:c r="H7" s="8" t="str">
        <x:v>Duration* (s)</x:v>
      </x:c>
    </x:row>
    <x:row r="8" ht="23" customHeight="1">
      <x:c r="B8" s="2" t="str">
        <x:v>IDLE</x:v>
      </x:c>
      <x:c r="C8" s="9" t="n">
        <x:v>45120</x:v>
      </x:c>
      <x:c r="D8" s="9" t="n">
        <x:v>0</x:v>
      </x:c>
      <x:c r="E8" s="9" t="n">
        <x:v>0</x:v>
      </x:c>
      <x:c r="F8" s="9" t="n">
        <x:v>1</x:v>
      </x:c>
      <x:c r="G8" s="9" t="n">
        <x:v>51</x:v>
      </x:c>
      <x:c r="H8" s="10" t="n">
        <x:f>C8/$C$18</x:f>
        <x:v>90.24</x:v>
      </x:c>
    </x:row>
    <x:row r="9" ht="23" customHeight="1">
      <x:c r="B9" s="2" t="str">
        <x:v>YES</x:v>
      </x:c>
      <x:c r="C9" s="9" t="n">
        <x:v>60000</x:v>
      </x:c>
      <x:c r="D9" s="9" t="n">
        <x:v>0</x:v>
      </x:c>
      <x:c r="E9" s="9" t="n">
        <x:v>1</x:v>
      </x:c>
      <x:c r="F9" s="9" t="n">
        <x:v>2</x:v>
      </x:c>
      <x:c r="G9" s="9" t="n">
        <x:v>190</x:v>
      </x:c>
      <x:c r="H9" s="10" t="n">
        <x:f>C9/$C$18</x:f>
        <x:v>120</x:v>
      </x:c>
    </x:row>
    <x:row r="10" ht="23" customHeight="1">
      <x:c r="B10" s="2" t="str">
        <x:v>NO</x:v>
      </x:c>
      <x:c r="C10" s="9" t="n">
        <x:v>61000</x:v>
      </x:c>
      <x:c r="D10" s="9" t="n">
        <x:v>0</x:v>
      </x:c>
      <x:c r="E10" s="9" t="n">
        <x:v>1</x:v>
      </x:c>
      <x:c r="F10" s="9" t="n">
        <x:v>2</x:v>
      </x:c>
      <x:c r="G10" s="9" t="n">
        <x:v>13</x:v>
      </x:c>
      <x:c r="H10" s="10" t="n">
        <x:f>C10/$C$18</x:f>
        <x:v>122</x:v>
      </x:c>
    </x:row>
    <x:row r="11" ht="23" customHeight="1">
      <x:c r="B11" s="2" t="str">
        <x:v>MIXED</x:v>
      </x:c>
      <x:c r="C11" s="9" t="n">
        <x:v>61000</x:v>
      </x:c>
      <x:c r="D11" s="9" t="n">
        <x:v>0</x:v>
      </x:c>
      <x:c r="E11" s="9" t="n">
        <x:v>1</x:v>
      </x:c>
      <x:c r="F11" s="9" t="n">
        <x:v>2</x:v>
      </x:c>
      <x:c r="G11" s="9" t="n">
        <x:v>4</x:v>
      </x:c>
      <x:c r="H11" s="10" t="n">
        <x:f>C11/$C$18</x:f>
        <x:v>122</x:v>
      </x:c>
    </x:row>
    <x:row r="12" ht="23" customHeight="1">
      <x:c r="B12" s="2" t="str">
        <x:v>RIGHT</x:v>
      </x:c>
      <x:c r="C12" s="9" t="n">
        <x:v>65000</x:v>
      </x:c>
      <x:c r="D12" s="9" t="n">
        <x:v>0</x:v>
      </x:c>
      <x:c r="E12" s="9" t="n">
        <x:v>1</x:v>
      </x:c>
      <x:c r="F12" s="9" t="n">
        <x:v>2</x:v>
      </x:c>
      <x:c r="G12" s="9" t="n">
        <x:v>343</x:v>
      </x:c>
      <x:c r="H12" s="10" t="n">
        <x:f>C12/$C$18</x:f>
        <x:v>130</x:v>
      </x:c>
    </x:row>
    <x:row r="13" ht="23" customHeight="1">
      <x:c r="B13" s="2" t="str">
        <x:v>LEFT</x:v>
      </x:c>
      <x:c r="C13" s="9" t="n">
        <x:v>61000</x:v>
      </x:c>
      <x:c r="D13" s="9" t="n">
        <x:v>0</x:v>
      </x:c>
      <x:c r="E13" s="9" t="n">
        <x:v>1</x:v>
      </x:c>
      <x:c r="F13" s="9" t="n">
        <x:v>2</x:v>
      </x:c>
      <x:c r="G13" s="9" t="n">
        <x:v>49</x:v>
      </x:c>
      <x:c r="H13" s="10" t="n">
        <x:f>C13/$C$18</x:f>
        <x:v>122</x:v>
      </x:c>
    </x:row>
    <x:row r="14" ht="23" customHeight="1">
      <x:c r="B14" s="2"/>
      <x:c r="C14" s="9"/>
      <x:c r="D14" s="9"/>
      <x:c r="E14" s="9"/>
      <x:c r="F14" s="9"/>
      <x:c r="G14" s="9"/>
      <x:c r="H14" s="10"/>
    </x:row>
    <x:row r="15" ht="23" customHeight="1">
      <x:c r="B15" s="14" t="str">
        <x:v>TOTAL</x:v>
      </x:c>
      <x:c r="C15" s="15" t="n">
        <x:f>SUM(C8:C13)</x:f>
        <x:v>353120</x:v>
      </x:c>
      <x:c r="D15" s="15" t="n">
        <x:f>SUM(D8:D13)</x:f>
        <x:v>0</x:v>
      </x:c>
      <x:c r="E15" s="15" t="n">
        <x:f>SUM(E8:E13)</x:f>
        <x:v>5</x:v>
      </x:c>
      <x:c r="F15" s="15" t="n">
        <x:f>SUM(F8:F13)</x:f>
        <x:v>11</x:v>
      </x:c>
      <x:c r="G15" s="15" t="n">
        <x:f>SUM(G8:G13)</x:f>
        <x:v>650</x:v>
      </x:c>
      <x:c r="H15" s="16" t="n">
        <x:f>SUM(H8:H13)</x:f>
        <x:v>706.24</x:v>
      </x:c>
    </x:row>
    <x:row r="16" ht="23" customHeight="1">
      <x:c r="B16" s="2"/>
      <x:c r="C16" s="2"/>
      <x:c r="D16" s="2"/>
      <x:c r="E16" s="2"/>
      <x:c r="F16" s="2"/>
      <x:c r="G16" s="2"/>
      <x:c r="H16" s="2"/>
    </x:row>
    <x:row r="17" ht="23" customHeight="1">
      <x:c r="B17" s="2"/>
      <x:c r="C17" s="2"/>
      <x:c r="D17" s="2"/>
      <x:c r="E17" s="2"/>
      <x:c r="F17" s="2"/>
      <x:c r="G17" s="2"/>
      <x:c r="H17" s="2"/>
    </x:row>
    <x:row r="18" ht="23" customHeight="1">
      <x:c r="B18" s="2" t="str">
        <x:v>Analysis rate (Hz)</x:v>
      </x:c>
      <x:c r="C18" s="18" t="n">
        <x:v>500</x:v>
      </x:c>
      <x:c r="D18" s="2" t="str">
        <x:v>Assumed; not clock-verified</x:v>
      </x:c>
      <x:c r="E18" s="2"/>
      <x:c r="F18" s="2"/>
      <x:c r="G18" s="2"/>
      <x:c r="H18" s="2"/>
    </x:row>
    <x:row r="19" ht="23" customHeight="1">
      <x:c r="B19" s="2"/>
      <x:c r="C19" s="2"/>
      <x:c r="D19" s="2"/>
      <x:c r="E19" s="2"/>
      <x:c r="F19" s="2"/>
      <x:c r="G19" s="2"/>
      <x:c r="H19" s="2"/>
    </x:row>
    <x:row r="20" ht="23" customHeight="1">
      <x:c r="B20" s="2" t="str">
        <x:v>*Duration</x:v>
      </x:c>
      <x:c r="C20" s="19" t="str">
        <x:v>Sample count / assumed rate. Excludes unknown time across counter breaks.</x:v>
      </x:c>
      <x:c r="D20" s="2"/>
      <x:c r="E20" s="2"/>
      <x:c r="F20" s="2"/>
      <x:c r="G20" s="2"/>
      <x:c r="H20" s="2"/>
    </x:row>
    <x:row r="21" ht="23" customHeight="1">
      <x:c r="B21" s="2" t="str">
        <x:v>Rate evidence</x:v>
      </x:c>
      <x:c r="C21" s="19" t="str">
        <x:v>About 2 minutes per recording; around 60,000 samples.</x:v>
      </x:c>
      <x:c r="D21" s="2"/>
      <x:c r="E21" s="2"/>
      <x:c r="F21" s="2"/>
      <x:c r="G21" s="2"/>
      <x:c r="H21" s="2"/>
    </x:row>
    <x:row r="22" ht="23" customHeight="1">
      <x:c r="B22" s="2" t="str">
        <x:v>Export processing</x:v>
      </x:c>
      <x:c r="C22" s="19" t="str">
        <x:v>Brain mode reported; exact filters and scaling unknown.</x:v>
      </x:c>
      <x:c r="D22" s="2"/>
      <x:c r="E22" s="2"/>
      <x:c r="F22" s="2"/>
      <x:c r="G22" s="2"/>
      <x:c r="H22" s="2"/>
    </x:row>
    <x:row r="23" ht="23" customHeight="1">
      <x:c r="B23" s="2" t="str">
        <x:v>Answer task</x:v>
      </x:c>
      <x:c r="C23" s="19" t="str">
        <x:v>Thought about answers and spoke aloud. No onset markers supplied.</x:v>
      </x:c>
      <x:c r="D23" s="2"/>
      <x:c r="E23" s="2"/>
      <x:c r="F23" s="2"/>
      <x:c r="G23" s="2"/>
      <x:c r="H23" s="2"/>
    </x:row>
    <x:row r="24" ht="23" customHeight="1">
      <x:c r="B24" s="2" t="str">
        <x:v>Cleaning</x:v>
      </x:c>
      <x:c r="C24" s="19" t="str">
        <x:v>Annotations only. All rows and finite signal values retained.</x:v>
      </x:c>
      <x:c r="D24" s="2"/>
      <x:c r="E24" s="2"/>
      <x:c r="F24" s="2"/>
      <x:c r="G24" s="2"/>
      <x:c r="H24" s="2"/>
    </x:row>
    <x:row r="25" ht="23" customHeight="1">
      <x:c r="B25" s="2" t="str">
        <x:v>Units</x:v>
      </x:c>
      <x:c r="C25" s="19" t="str">
        <x:v>Native exported values; not verified microvolts.</x:v>
      </x:c>
      <x:c r="D25" s="2"/>
      <x:c r="E25" s="2"/>
      <x:c r="F25" s="2"/>
      <x:c r="G25" s="2"/>
      <x:c r="H25" s="2"/>
    </x:row>
    <x:row r="26" ht="23" customHeight="1">
      <x:c r="B26" s="2" t="str">
        <x:v>Channels 1–6</x:v>
      </x:c>
      <x:c r="C26" s="19" t="str">
        <x:v>C3, C4, F3, F4, P3, P4 (user-reported order).</x:v>
      </x:c>
      <x:c r="D26" s="2"/>
      <x:c r="E26" s="2"/>
      <x:c r="F26" s="2"/>
      <x:c r="G26" s="2"/>
      <x:c r="H26" s="2"/>
    </x:row>
    <x:row r="27" ht="23" customHeight="1">
      <x:c r="B27" s="2"/>
      <x:c r="C27" s="19"/>
      <x:c r="D27" s="2"/>
      <x:c r="E27" s="2"/>
      <x:c r="F27" s="2"/>
      <x:c r="G27" s="2"/>
      <x:c r="H27" s="2"/>
    </x:row>
    <x:row r="28" ht="23" customHeight="1">
      <x:c r="B28" s="11" t="str">
        <x:v>Source exports</x:v>
      </x:c>
      <x:c r="C28" s="19"/>
      <x:c r="D28" s="2"/>
      <x:c r="E28" s="2"/>
      <x:c r="F28" s="2"/>
      <x:c r="G28" s="2"/>
      <x:c r="H28" s="2"/>
    </x:row>
    <x:row r="29" ht="23" customHeight="1">
      <x:c r="B29" s="2" t="str">
        <x:v>IDLE</x:v>
      </x:c>
      <x:c r="C29" s="19" t="str">
        <x:v>normal (2).csv</x:v>
      </x:c>
      <x:c r="D29" s="2"/>
      <x:c r="E29" s="2"/>
      <x:c r="F29" s="2"/>
      <x:c r="G29" s="2"/>
      <x:c r="H29" s="2"/>
    </x:row>
    <x:row r="30" ht="23" customHeight="1">
      <x:c r="B30" s="2" t="str">
        <x:v>YES</x:v>
      </x:c>
      <x:c r="C30" s="19" t="str">
        <x:v>yes_responses (2).csv</x:v>
      </x:c>
      <x:c r="D30" s="2"/>
      <x:c r="E30" s="2"/>
      <x:c r="F30" s="2"/>
      <x:c r="G30" s="2"/>
      <x:c r="H30" s="2"/>
    </x:row>
    <x:row r="31" ht="23" customHeight="1">
      <x:c r="B31" s="2" t="str">
        <x:v>NO</x:v>
      </x:c>
      <x:c r="C31" s="19" t="str">
        <x:v>no_responses (2).csv</x:v>
      </x:c>
      <x:c r="D31" s="2"/>
      <x:c r="E31" s="2"/>
      <x:c r="F31" s="2"/>
      <x:c r="G31" s="2"/>
      <x:c r="H31" s="2"/>
    </x:row>
    <x:row r="32" ht="23" customHeight="1">
      <x:c r="B32" s="2" t="str">
        <x:v>MIXED</x:v>
      </x:c>
      <x:c r="C32" s="19" t="str">
        <x:v>yes_no_mixed_responses.csv</x:v>
      </x:c>
      <x:c r="D32" s="2"/>
      <x:c r="E32" s="2"/>
      <x:c r="F32" s="2"/>
      <x:c r="G32" s="2"/>
      <x:c r="H32" s="2"/>
    </x:row>
    <x:row r="33" ht="23" customHeight="1">
      <x:c r="B33" s="2" t="str">
        <x:v>RIGHT</x:v>
      </x:c>
      <x:c r="C33" s="19" t="str">
        <x:v>right.csv</x:v>
      </x:c>
      <x:c r="D33" s="2"/>
      <x:c r="E33" s="2"/>
      <x:c r="F33" s="2"/>
      <x:c r="G33" s="2"/>
      <x:c r="H33" s="2"/>
    </x:row>
    <x:row r="34" ht="23" customHeight="1">
      <x:c r="B34" s="2" t="str">
        <x:v>LEFT</x:v>
      </x:c>
      <x:c r="C34" s="19" t="str">
        <x:v>left.csv</x:v>
      </x:c>
      <x:c r="D34" s="2"/>
      <x:c r="E34" s="2"/>
      <x:c r="F34" s="2"/>
      <x:c r="G34" s="2"/>
      <x:c r="H34" s="2"/>
    </x:row>
  </x:sheetData>
  <x:conditionalFormatting sqref="D8:D13">
    <x:cfRule type="cellIs" dxfId="0" priority="1" operator="greaterThan">
      <x:formula>0</x:formula>
    </x:cfRule>
  </x:conditionalFormatting>
  <x:conditionalFormatting sqref="E8:E13">
    <x:cfRule type="cellIs" dxfId="1" priority="2" operator="greaterThan">
      <x:formula>0</x:formula>
    </x:cfRule>
  </x:conditionalFormatting>
  <x:conditionalFormatting sqref="G8:G13">
    <x:cfRule type="cellIs" dxfId="2" priority="3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2" ht="22" customHeight="1">
      <x:c r="A2" s="20" t="str">
        <x:v>Channel measurements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21" t="str">
        <x:v>Native exported units. Amplitude flags identify review candidates, not proven artifacts.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36" customHeight="1">
      <x:c r="A6" s="8" t="str">
        <x:v>Recording</x:v>
      </x:c>
      <x:c r="B6" s="8" t="str">
        <x:v>Channel</x:v>
      </x:c>
      <x:c r="C6" s="8" t="str">
        <x:v>Position</x:v>
      </x:c>
      <x:c r="D6" s="8" t="str">
        <x:v>Mean</x:v>
      </x:c>
      <x:c r="E6" s="8" t="str">
        <x:v>Std. dev.</x:v>
      </x:c>
      <x:c r="F6" s="8" t="str">
        <x:v>RMS</x:v>
      </x:c>
      <x:c r="G6" s="8" t="str">
        <x:v>Minimum</x:v>
      </x:c>
      <x:c r="H6" s="8" t="str">
        <x:v>Maximum</x:v>
      </x:c>
      <x:c r="I6" s="8" t="str">
        <x:v>MAD</x:v>
      </x:c>
      <x:c r="J6" s="8" t="str">
        <x:v>Flagged samples</x:v>
      </x:c>
      <x:c r="K6" s="8" t="str">
        <x:v>Flagged fraction</x:v>
      </x:c>
      <x:c r="L6" s="8" t="str">
        <x:v>Valid samples</x:v>
      </x:c>
    </x:row>
    <x:row r="7" ht="22" customHeight="1">
      <x:c r="A7" s="1" t="str">
        <x:v>IDLE</x:v>
      </x:c>
      <x:c r="B7" s="1" t="str">
        <x:v>Channel1</x:v>
      </x:c>
      <x:c r="C7" s="1" t="str">
        <x:v>C3</x:v>
      </x:c>
      <x:c r="D7" s="26" t="n">
        <x:v>0.00043512073814134334</x:v>
      </x:c>
      <x:c r="E7" s="26" t="n">
        <x:v>0.18252193430482244</x:v>
      </x:c>
      <x:c r="F7" s="26" t="n">
        <x:v>0.18252043032095672</x:v>
      </x:c>
      <x:c r="G7" s="26" t="n">
        <x:v>-0.8281445837766133</x:v>
      </x:c>
      <x:c r="H7" s="26" t="n">
        <x:v>1.237472445869674</x:v>
      </x:c>
      <x:c r="I7" s="26" t="n">
        <x:v>0.09587350390160843</x:v>
      </x:c>
      <x:c r="J7" s="27" t="n">
        <x:v>5</x:v>
      </x:c>
      <x:c r="K7" s="28" t="n">
        <x:f>J7/L7</x:f>
        <x:v>0.00011081560283687943</x:v>
      </x:c>
      <x:c r="L7" s="27" t="n">
        <x:v>45120</x:v>
      </x:c>
    </x:row>
    <x:row r="8" ht="22" customHeight="1">
      <x:c r="A8" s="1" t="str">
        <x:v>IDLE</x:v>
      </x:c>
      <x:c r="B8" s="1" t="str">
        <x:v>Channel2</x:v>
      </x:c>
      <x:c r="C8" s="1" t="str">
        <x:v>C4</x:v>
      </x:c>
      <x:c r="D8" s="26" t="n">
        <x:v>0.00030086428978231167</x:v>
      </x:c>
      <x:c r="E8" s="26" t="n">
        <x:v>0.1679555022577263</x:v>
      </x:c>
      <x:c r="F8" s="26" t="n">
        <x:v>0.16795391051527603</x:v>
      </x:c>
      <x:c r="G8" s="26" t="n">
        <x:v>-0.9759375135409236</x:v>
      </x:c>
      <x:c r="H8" s="26" t="n">
        <x:v>1.2869389615376399</x:v>
      </x:c>
      <x:c r="I8" s="26" t="n">
        <x:v>0.08461042184400247</x:v>
      </x:c>
      <x:c r="J8" s="27" t="n">
        <x:v>26</x:v>
      </x:c>
      <x:c r="K8" s="28" t="n">
        <x:f>J8/L8</x:f>
        <x:v>0.000576241134751773</x:v>
      </x:c>
      <x:c r="L8" s="27" t="n">
        <x:v>45120</x:v>
      </x:c>
    </x:row>
    <x:row r="9" ht="22" customHeight="1">
      <x:c r="A9" s="1" t="str">
        <x:v>IDLE</x:v>
      </x:c>
      <x:c r="B9" s="1" t="str">
        <x:v>Channel3</x:v>
      </x:c>
      <x:c r="C9" s="1" t="str">
        <x:v>F3</x:v>
      </x:c>
      <x:c r="D9" s="26" t="n">
        <x:v>-0.00004145043590037794</x:v>
      </x:c>
      <x:c r="E9" s="26" t="n">
        <x:v>0.11147447783276215</x:v>
      </x:c>
      <x:c r="F9" s="26" t="n">
        <x:v>0.11147325022127799</x:v>
      </x:c>
      <x:c r="G9" s="26" t="n">
        <x:v>-0.6101219189000648</x:v>
      </x:c>
      <x:c r="H9" s="26" t="n">
        <x:v>0.8978733128302205</x:v>
      </x:c>
      <x:c r="I9" s="26" t="n">
        <x:v>0.07599634054064512</x:v>
      </x:c>
      <x:c r="J9" s="27" t="n">
        <x:v>1</x:v>
      </x:c>
      <x:c r="K9" s="28" t="n">
        <x:f>J9/L9</x:f>
        <x:v>0.000022163120567375888</x:v>
      </x:c>
      <x:c r="L9" s="27" t="n">
        <x:v>45120</x:v>
      </x:c>
    </x:row>
    <x:row r="10" ht="22" customHeight="1">
      <x:c r="A10" s="1" t="str">
        <x:v>IDLE</x:v>
      </x:c>
      <x:c r="B10" s="1" t="str">
        <x:v>Channel4</x:v>
      </x:c>
      <x:c r="C10" s="1" t="str">
        <x:v>F4</x:v>
      </x:c>
      <x:c r="D10" s="26" t="n">
        <x:v>-0.00023116826482526092</x:v>
      </x:c>
      <x:c r="E10" s="26" t="n">
        <x:v>0.11579856601708975</x:v>
      </x:c>
      <x:c r="F10" s="26" t="n">
        <x:v>0.11579751352370839</x:v>
      </x:c>
      <x:c r="G10" s="26" t="n">
        <x:v>-0.4419873759224995</x:v>
      </x:c>
      <x:c r="H10" s="26" t="n">
        <x:v>0.25250316844866677</x:v>
      </x:c>
      <x:c r="I10" s="26" t="n">
        <x:v>0.08969682587580839</x:v>
      </x:c>
      <x:c r="J10" s="27" t="n">
        <x:v>0</x:v>
      </x:c>
      <x:c r="K10" s="28" t="n">
        <x:f>J10/L10</x:f>
        <x:v>0</x:v>
      </x:c>
      <x:c r="L10" s="27" t="n">
        <x:v>45120</x:v>
      </x:c>
    </x:row>
    <x:row r="11" ht="22" customHeight="1">
      <x:c r="A11" s="1" t="str">
        <x:v>IDLE</x:v>
      </x:c>
      <x:c r="B11" s="1" t="str">
        <x:v>Channel5</x:v>
      </x:c>
      <x:c r="C11" s="1" t="str">
        <x:v>P3</x:v>
      </x:c>
      <x:c r="D11" s="26" t="n">
        <x:v>0.00032011087682977667</x:v>
      </x:c>
      <x:c r="E11" s="26" t="n">
        <x:v>0.21452089539803426</x:v>
      </x:c>
      <x:c r="F11" s="26" t="n">
        <x:v>0.21451875699795359</x:v>
      </x:c>
      <x:c r="G11" s="26" t="n">
        <x:v>-1.0976628861295068</x:v>
      </x:c>
      <x:c r="H11" s="26" t="n">
        <x:v>1.520687701683363</x:v>
      </x:c>
      <x:c r="I11" s="26" t="n">
        <x:v>0.09757564129492874</x:v>
      </x:c>
      <x:c r="J11" s="27" t="n">
        <x:v>35</x:v>
      </x:c>
      <x:c r="K11" s="28" t="n">
        <x:f>J11/L11</x:f>
        <x:v>0.0007757092198581561</x:v>
      </x:c>
      <x:c r="L11" s="27" t="n">
        <x:v>45120</x:v>
      </x:c>
    </x:row>
    <x:row r="12" ht="22" customHeight="1">
      <x:c r="A12" s="1" t="str">
        <x:v>IDLE</x:v>
      </x:c>
      <x:c r="B12" s="1" t="str">
        <x:v>Channel6</x:v>
      </x:c>
      <x:c r="C12" s="1" t="str">
        <x:v>P4</x:v>
      </x:c>
      <x:c r="D12" s="26" t="n">
        <x:v>-0.00008524416572010173</x:v>
      </x:c>
      <x:c r="E12" s="26" t="n">
        <x:v>0.11449297886877963</x:v>
      </x:c>
      <x:c r="F12" s="26" t="n">
        <x:v>0.11449174183493246</x:v>
      </x:c>
      <x:c r="G12" s="26" t="n">
        <x:v>-0.3354257608415123</x:v>
      </x:c>
      <x:c r="H12" s="26" t="n">
        <x:v>0.2087495187399242</x:v>
      </x:c>
      <x:c r="I12" s="26" t="n">
        <x:v>0.08489604909677487</x:v>
      </x:c>
      <x:c r="J12" s="27" t="n">
        <x:v>0</x:v>
      </x:c>
      <x:c r="K12" s="28" t="n">
        <x:f>J12/L12</x:f>
        <x:v>0</x:v>
      </x:c>
      <x:c r="L12" s="27" t="n">
        <x:v>45120</x:v>
      </x:c>
    </x:row>
    <x:row r="13" ht="22" customHeight="1">
      <x:c r="A13" s="1" t="str">
        <x:v>YES</x:v>
      </x:c>
      <x:c r="B13" s="1" t="str">
        <x:v>Channel1</x:v>
      </x:c>
      <x:c r="C13" s="1" t="str">
        <x:v>C3</x:v>
      </x:c>
      <x:c r="D13" s="26" t="n">
        <x:v>0.00024399024223681665</x:v>
      </x:c>
      <x:c r="E13" s="26" t="n">
        <x:v>0.1956932165888842</x:v>
      </x:c>
      <x:c r="F13" s="26" t="n">
        <x:v>0.19569173790997224</x:v>
      </x:c>
      <x:c r="G13" s="26" t="n">
        <x:v>-0.8672765735474884</x:v>
      </x:c>
      <x:c r="H13" s="26" t="n">
        <x:v>1.3857513917762816</x:v>
      </x:c>
      <x:c r="I13" s="26" t="n">
        <x:v>0.09705203379251494</x:v>
      </x:c>
      <x:c r="J13" s="27" t="n">
        <x:v>88</x:v>
      </x:c>
      <x:c r="K13" s="28" t="n">
        <x:f>J13/L13</x:f>
        <x:v>0.0014666666666666667</x:v>
      </x:c>
      <x:c r="L13" s="27" t="n">
        <x:v>60000</x:v>
      </x:c>
    </x:row>
    <x:row r="14" ht="22" customHeight="1">
      <x:c r="A14" s="1" t="str">
        <x:v>YES</x:v>
      </x:c>
      <x:c r="B14" s="1" t="str">
        <x:v>Channel2</x:v>
      </x:c>
      <x:c r="C14" s="1" t="str">
        <x:v>C4</x:v>
      </x:c>
      <x:c r="D14" s="26" t="n">
        <x:v>0.001171767979177333</x:v>
      </x:c>
      <x:c r="E14" s="26" t="n">
        <x:v>0.1790757455078246</x:v>
      </x:c>
      <x:c r="F14" s="26" t="n">
        <x:v>0.1790780868801923</x:v>
      </x:c>
      <x:c r="G14" s="26" t="n">
        <x:v>-0.9835562594560509</x:v>
      </x:c>
      <x:c r="H14" s="26" t="n">
        <x:v>1.1062351082424589</x:v>
      </x:c>
      <x:c r="I14" s="26" t="n">
        <x:v>0.09336779754481528</x:v>
      </x:c>
      <x:c r="J14" s="27" t="n">
        <x:v>0</x:v>
      </x:c>
      <x:c r="K14" s="28" t="n">
        <x:f>J14/L14</x:f>
        <x:v>0</x:v>
      </x:c>
      <x:c r="L14" s="27" t="n">
        <x:v>60000</x:v>
      </x:c>
    </x:row>
    <x:row r="15" ht="22" customHeight="1">
      <x:c r="A15" s="1" t="str">
        <x:v>YES</x:v>
      </x:c>
      <x:c r="B15" s="1" t="str">
        <x:v>Channel3</x:v>
      </x:c>
      <x:c r="C15" s="1" t="str">
        <x:v>F3</x:v>
      </x:c>
      <x:c r="D15" s="26" t="n">
        <x:v>-0.0000353327340249054</x:v>
      </x:c>
      <x:c r="E15" s="26" t="n">
        <x:v>0.1338266229513331</x:v>
      </x:c>
      <x:c r="F15" s="26" t="n">
        <x:v>0.1338255123891188</x:v>
      </x:c>
      <x:c r="G15" s="26" t="n">
        <x:v>-0.6813256878930504</x:v>
      </x:c>
      <x:c r="H15" s="26" t="n">
        <x:v>1.279325952501507</x:v>
      </x:c>
      <x:c r="I15" s="26" t="n">
        <x:v>0.08242150890912492</x:v>
      </x:c>
      <x:c r="J15" s="27" t="n">
        <x:v>73</x:v>
      </x:c>
      <x:c r="K15" s="28" t="n">
        <x:f>J15/L15</x:f>
        <x:v>0.0012166666666666667</x:v>
      </x:c>
      <x:c r="L15" s="27" t="n">
        <x:v>60000</x:v>
      </x:c>
    </x:row>
    <x:row r="16" ht="22" customHeight="1">
      <x:c r="A16" s="1" t="str">
        <x:v>YES</x:v>
      </x:c>
      <x:c r="B16" s="1" t="str">
        <x:v>Channel4</x:v>
      </x:c>
      <x:c r="C16" s="1" t="str">
        <x:v>F4</x:v>
      </x:c>
      <x:c r="D16" s="26" t="n">
        <x:v>0.000003235602112775175</x:v>
      </x:c>
      <x:c r="E16" s="26" t="n">
        <x:v>0.11486153716013872</x:v>
      </x:c>
      <x:c r="F16" s="26" t="n">
        <x:v>0.11486058002224728</x:v>
      </x:c>
      <x:c r="G16" s="26" t="n">
        <x:v>-0.43771759538322175</x:v>
      </x:c>
      <x:c r="H16" s="26" t="n">
        <x:v>0.3786810146503246</x:v>
      </x:c>
      <x:c r="I16" s="26" t="n">
        <x:v>0.09002708763612177</x:v>
      </x:c>
      <x:c r="J16" s="27" t="n">
        <x:v>0</x:v>
      </x:c>
      <x:c r="K16" s="28" t="n">
        <x:f>J16/L16</x:f>
        <x:v>0</x:v>
      </x:c>
      <x:c r="L16" s="27" t="n">
        <x:v>60000</x:v>
      </x:c>
    </x:row>
    <x:row r="17" ht="22" customHeight="1">
      <x:c r="A17" s="1" t="str">
        <x:v>YES</x:v>
      </x:c>
      <x:c r="B17" s="1" t="str">
        <x:v>Channel5</x:v>
      </x:c>
      <x:c r="C17" s="1" t="str">
        <x:v>P3</x:v>
      </x:c>
      <x:c r="D17" s="26" t="n">
        <x:v>-0.0005006970305876983</x:v>
      </x:c>
      <x:c r="E17" s="26" t="n">
        <x:v>0.22803308582764054</x:v>
      </x:c>
      <x:c r="F17" s="26" t="n">
        <x:v>0.22803173524341297</x:v>
      </x:c>
      <x:c r="G17" s="26" t="n">
        <x:v>-1.123701594055924</x:v>
      </x:c>
      <x:c r="H17" s="26" t="n">
        <x:v>1.489331488483621</x:v>
      </x:c>
      <x:c r="I17" s="26" t="n">
        <x:v>0.10993613987743844</x:v>
      </x:c>
      <x:c r="J17" s="27" t="n">
        <x:v>39</x:v>
      </x:c>
      <x:c r="K17" s="28" t="n">
        <x:f>J17/L17</x:f>
        <x:v>0.00065</x:v>
      </x:c>
      <x:c r="L17" s="27" t="n">
        <x:v>60000</x:v>
      </x:c>
    </x:row>
    <x:row r="18" ht="22" customHeight="1">
      <x:c r="A18" s="1" t="str">
        <x:v>YES</x:v>
      </x:c>
      <x:c r="B18" s="1" t="str">
        <x:v>Channel6</x:v>
      </x:c>
      <x:c r="C18" s="1" t="str">
        <x:v>P4</x:v>
      </x:c>
      <x:c r="D18" s="26" t="n">
        <x:v>0.00009623936456906241</x:v>
      </x:c>
      <x:c r="E18" s="26" t="n">
        <x:v>0.11426495223629053</x:v>
      </x:c>
      <x:c r="F18" s="26" t="n">
        <x:v>0.1142640405533979</x:v>
      </x:c>
      <x:c r="G18" s="26" t="n">
        <x:v>-0.5478822436307136</x:v>
      </x:c>
      <x:c r="H18" s="26" t="n">
        <x:v>0.39257690173683635</x:v>
      </x:c>
      <x:c r="I18" s="26" t="n">
        <x:v>0.08830729331636186</x:v>
      </x:c>
      <x:c r="J18" s="27" t="n">
        <x:v>0</x:v>
      </x:c>
      <x:c r="K18" s="28" t="n">
        <x:f>J18/L18</x:f>
        <x:v>0</x:v>
      </x:c>
      <x:c r="L18" s="27" t="n">
        <x:v>60000</x:v>
      </x:c>
    </x:row>
    <x:row r="19" ht="22" customHeight="1">
      <x:c r="A19" s="1" t="str">
        <x:v>NO</x:v>
      </x:c>
      <x:c r="B19" s="1" t="str">
        <x:v>Channel1</x:v>
      </x:c>
      <x:c r="C19" s="1" t="str">
        <x:v>C3</x:v>
      </x:c>
      <x:c r="D19" s="26" t="n">
        <x:v>0.00037274682131078406</x:v>
      </x:c>
      <x:c r="E19" s="26" t="n">
        <x:v>0.15837843775475288</x:v>
      </x:c>
      <x:c r="F19" s="26" t="n">
        <x:v>0.15837757820205436</x:v>
      </x:c>
      <x:c r="G19" s="26" t="n">
        <x:v>-0.8738698998697974</x:v>
      </x:c>
      <x:c r="H19" s="26" t="n">
        <x:v>1.187430176594001</x:v>
      </x:c>
      <x:c r="I19" s="26" t="n">
        <x:v>0.0849462570607131</x:v>
      </x:c>
      <x:c r="J19" s="27" t="n">
        <x:v>5</x:v>
      </x:c>
      <x:c r="K19" s="28" t="n">
        <x:f>J19/L19</x:f>
        <x:v>0.0000819672131147541</x:v>
      </x:c>
      <x:c r="L19" s="27" t="n">
        <x:v>61000</x:v>
      </x:c>
    </x:row>
    <x:row r="20" ht="22" customHeight="1">
      <x:c r="A20" s="1" t="str">
        <x:v>NO</x:v>
      </x:c>
      <x:c r="B20" s="1" t="str">
        <x:v>Channel2</x:v>
      </x:c>
      <x:c r="C20" s="1" t="str">
        <x:v>C4</x:v>
      </x:c>
      <x:c r="D20" s="26" t="n">
        <x:v>0.00027170373338029273</x:v>
      </x:c>
      <x:c r="E20" s="26" t="n">
        <x:v>0.15509572972177096</x:v>
      </x:c>
      <x:c r="F20" s="26" t="n">
        <x:v>0.15509469643331716</x:v>
      </x:c>
      <x:c r="G20" s="26" t="n">
        <x:v>-0.9495703994033935</x:v>
      </x:c>
      <x:c r="H20" s="26" t="n">
        <x:v>1.3029238498124853</x:v>
      </x:c>
      <x:c r="I20" s="26" t="n">
        <x:v>0.08460653612813515</x:v>
      </x:c>
      <x:c r="J20" s="27" t="n">
        <x:v>9</x:v>
      </x:c>
      <x:c r="K20" s="28" t="n">
        <x:f>J20/L20</x:f>
        <x:v>0.00014754098360655738</x:v>
      </x:c>
      <x:c r="L20" s="27" t="n">
        <x:v>61000</x:v>
      </x:c>
    </x:row>
    <x:row r="21" ht="22" customHeight="1">
      <x:c r="A21" s="1" t="str">
        <x:v>NO</x:v>
      </x:c>
      <x:c r="B21" s="1" t="str">
        <x:v>Channel3</x:v>
      </x:c>
      <x:c r="C21" s="1" t="str">
        <x:v>F3</x:v>
      </x:c>
      <x:c r="D21" s="26" t="n">
        <x:v>0.000050441675193894346</x:v>
      </x:c>
      <x:c r="E21" s="26" t="n">
        <x:v>0.11956277559774442</x:v>
      </x:c>
      <x:c r="F21" s="26" t="n">
        <x:v>0.11956180621134292</x:v>
      </x:c>
      <x:c r="G21" s="26" t="n">
        <x:v>-0.7589635170855065</x:v>
      </x:c>
      <x:c r="H21" s="26" t="n">
        <x:v>0.8215024427044666</x:v>
      </x:c>
      <x:c r="I21" s="26" t="n">
        <x:v>0.08664527136347631</x:v>
      </x:c>
      <x:c r="J21" s="27" t="n">
        <x:v>0</x:v>
      </x:c>
      <x:c r="K21" s="28" t="n">
        <x:f>J21/L21</x:f>
        <x:v>0</x:v>
      </x:c>
      <x:c r="L21" s="27" t="n">
        <x:v>61000</x:v>
      </x:c>
    </x:row>
    <x:row r="22" ht="22" customHeight="1">
      <x:c r="A22" s="1" t="str">
        <x:v>NO</x:v>
      </x:c>
      <x:c r="B22" s="1" t="str">
        <x:v>Channel4</x:v>
      </x:c>
      <x:c r="C22" s="1" t="str">
        <x:v>F4</x:v>
      </x:c>
      <x:c r="D22" s="26" t="n">
        <x:v>0.00006346656440086753</x:v>
      </x:c>
      <x:c r="E22" s="26" t="n">
        <x:v>0.11332233347655167</x:v>
      </x:c>
      <x:c r="F22" s="26" t="n">
        <x:v>0.11332142237363753</x:v>
      </x:c>
      <x:c r="G22" s="26" t="n">
        <x:v>-0.8768277670400759</x:v>
      </x:c>
      <x:c r="H22" s="26" t="n">
        <x:v>0.581829402420807</x:v>
      </x:c>
      <x:c r="I22" s="26" t="n">
        <x:v>0.08978997473737803</x:v>
      </x:c>
      <x:c r="J22" s="27" t="n">
        <x:v>0</x:v>
      </x:c>
      <x:c r="K22" s="28" t="n">
        <x:f>J22/L22</x:f>
        <x:v>0</x:v>
      </x:c>
      <x:c r="L22" s="27" t="n">
        <x:v>61000</x:v>
      </x:c>
    </x:row>
    <x:row r="23" ht="22" customHeight="1">
      <x:c r="A23" s="1" t="str">
        <x:v>NO</x:v>
      </x:c>
      <x:c r="B23" s="1" t="str">
        <x:v>Channel5</x:v>
      </x:c>
      <x:c r="C23" s="1" t="str">
        <x:v>P3</x:v>
      </x:c>
      <x:c r="D23" s="26" t="n">
        <x:v>-0.00006761732926464307</x:v>
      </x:c>
      <x:c r="E23" s="26" t="n">
        <x:v>0.17802543829451836</x:v>
      </x:c>
      <x:c r="F23" s="26" t="n">
        <x:v>0.17802399190489002</x:v>
      </x:c>
      <x:c r="G23" s="26" t="n">
        <x:v>-1.0000511740692275</x:v>
      </x:c>
      <x:c r="H23" s="26" t="n">
        <x:v>1.4145735001506674</x:v>
      </x:c>
      <x:c r="I23" s="26" t="n">
        <x:v>0.0904363442854926</x:v>
      </x:c>
      <x:c r="J23" s="27" t="n">
        <x:v>11</x:v>
      </x:c>
      <x:c r="K23" s="28" t="n">
        <x:f>J23/L23</x:f>
        <x:v>0.000180327868852459</x:v>
      </x:c>
      <x:c r="L23" s="27" t="n">
        <x:v>61000</x:v>
      </x:c>
    </x:row>
    <x:row r="24" ht="22" customHeight="1">
      <x:c r="A24" s="1" t="str">
        <x:v>NO</x:v>
      </x:c>
      <x:c r="B24" s="1" t="str">
        <x:v>Channel6</x:v>
      </x:c>
      <x:c r="C24" s="1" t="str">
        <x:v>P4</x:v>
      </x:c>
      <x:c r="D24" s="26" t="n">
        <x:v>-0.00020869732322563802</x:v>
      </x:c>
      <x:c r="E24" s="26" t="n">
        <x:v>0.11349339054509892</x:v>
      </x:c>
      <x:c r="F24" s="26" t="n">
        <x:v>0.11349265215054219</x:v>
      </x:c>
      <x:c r="G24" s="26" t="n">
        <x:v>-0.8230736574441742</x:v>
      </x:c>
      <x:c r="H24" s="26" t="n">
        <x:v>0.5205278870996755</x:v>
      </x:c>
      <x:c r="I24" s="26" t="n">
        <x:v>0.08956594718538063</x:v>
      </x:c>
      <x:c r="J24" s="27" t="n">
        <x:v>0</x:v>
      </x:c>
      <x:c r="K24" s="28" t="n">
        <x:f>J24/L24</x:f>
        <x:v>0</x:v>
      </x:c>
      <x:c r="L24" s="27" t="n">
        <x:v>61000</x:v>
      </x:c>
    </x:row>
    <x:row r="25" ht="22" customHeight="1">
      <x:c r="A25" s="1" t="str">
        <x:v>MIXED</x:v>
      </x:c>
      <x:c r="B25" s="1" t="str">
        <x:v>Channel1</x:v>
      </x:c>
      <x:c r="C25" s="1" t="str">
        <x:v>C3</x:v>
      </x:c>
      <x:c r="D25" s="26" t="n">
        <x:v>0.0011527645627130284</x:v>
      </x:c>
      <x:c r="E25" s="26" t="n">
        <x:v>0.18157356476148143</x:v>
      </x:c>
      <x:c r="F25" s="26" t="n">
        <x:v>0.18157573574567817</x:v>
      </x:c>
      <x:c r="G25" s="26" t="n">
        <x:v>-0.806378297461535</x:v>
      </x:c>
      <x:c r="H25" s="26" t="n">
        <x:v>1.2602019936153286</x:v>
      </x:c>
      <x:c r="I25" s="26" t="n">
        <x:v>0.10586229659683727</x:v>
      </x:c>
      <x:c r="J25" s="27" t="n">
        <x:v>0</x:v>
      </x:c>
      <x:c r="K25" s="28" t="n">
        <x:f>J25/L25</x:f>
        <x:v>0</x:v>
      </x:c>
      <x:c r="L25" s="27" t="n">
        <x:v>61000</x:v>
      </x:c>
    </x:row>
    <x:row r="26" ht="22" customHeight="1">
      <x:c r="A26" s="1" t="str">
        <x:v>MIXED</x:v>
      </x:c>
      <x:c r="B26" s="1" t="str">
        <x:v>Channel2</x:v>
      </x:c>
      <x:c r="C26" s="1" t="str">
        <x:v>C4</x:v>
      </x:c>
      <x:c r="D26" s="26" t="n">
        <x:v>0.0012911857402700753</x:v>
      </x:c>
      <x:c r="E26" s="26" t="n">
        <x:v>0.17018891619865112</x:v>
      </x:c>
      <x:c r="F26" s="26" t="n">
        <x:v>0.17019241914208447</x:v>
      </x:c>
      <x:c r="G26" s="26" t="n">
        <x:v>-0.9357325851773135</x:v>
      </x:c>
      <x:c r="H26" s="26" t="n">
        <x:v>0.7338260169690407</x:v>
      </x:c>
      <x:c r="I26" s="26" t="n">
        <x:v>0.09548142114848894</x:v>
      </x:c>
      <x:c r="J26" s="27" t="n">
        <x:v>0</x:v>
      </x:c>
      <x:c r="K26" s="28" t="n">
        <x:f>J26/L26</x:f>
        <x:v>0</x:v>
      </x:c>
      <x:c r="L26" s="27" t="n">
        <x:v>61000</x:v>
      </x:c>
    </x:row>
    <x:row r="27" ht="22" customHeight="1">
      <x:c r="A27" s="1" t="str">
        <x:v>MIXED</x:v>
      </x:c>
      <x:c r="B27" s="1" t="str">
        <x:v>Channel3</x:v>
      </x:c>
      <x:c r="C27" s="1" t="str">
        <x:v>F3</x:v>
      </x:c>
      <x:c r="D27" s="26" t="n">
        <x:v>0.0002941603758448029</x:v>
      </x:c>
      <x:c r="E27" s="26" t="n">
        <x:v>0.16665470566611307</x:v>
      </x:c>
      <x:c r="F27" s="26" t="n">
        <x:v>0.16665359924987402</x:v>
      </x:c>
      <x:c r="G27" s="26" t="n">
        <x:v>-0.842782549740539</x:v>
      </x:c>
      <x:c r="H27" s="26" t="n">
        <x:v>1.3104869264889996</x:v>
      </x:c>
      <x:c r="I27" s="26" t="n">
        <x:v>0.10746184651957352</x:v>
      </x:c>
      <x:c r="J27" s="27" t="n">
        <x:v>2</x:v>
      </x:c>
      <x:c r="K27" s="28" t="n">
        <x:f>J27/L27</x:f>
        <x:v>0.00003278688524590164</x:v>
      </x:c>
      <x:c r="L27" s="27" t="n">
        <x:v>61000</x:v>
      </x:c>
    </x:row>
    <x:row r="28" ht="22" customHeight="1">
      <x:c r="A28" s="1" t="str">
        <x:v>MIXED</x:v>
      </x:c>
      <x:c r="B28" s="1" t="str">
        <x:v>Channel4</x:v>
      </x:c>
      <x:c r="C28" s="1" t="str">
        <x:v>F4</x:v>
      </x:c>
      <x:c r="D28" s="26" t="n">
        <x:v>-0.000011835444540642832</x:v>
      </x:c>
      <x:c r="E28" s="26" t="n">
        <x:v>0.11804152966920062</x:v>
      </x:c>
      <x:c r="F28" s="26" t="n">
        <x:v>0.11804056270505915</x:v>
      </x:c>
      <x:c r="G28" s="26" t="n">
        <x:v>-0.36990246029712404</x:v>
      </x:c>
      <x:c r="H28" s="26" t="n">
        <x:v>0.23568017643534225</x:v>
      </x:c>
      <x:c r="I28" s="26" t="n">
        <x:v>0.09476342056013003</x:v>
      </x:c>
      <x:c r="J28" s="27" t="n">
        <x:v>0</x:v>
      </x:c>
      <x:c r="K28" s="28" t="n">
        <x:f>J28/L28</x:f>
        <x:v>0</x:v>
      </x:c>
      <x:c r="L28" s="27" t="n">
        <x:v>61000</x:v>
      </x:c>
    </x:row>
    <x:row r="29" ht="22" customHeight="1">
      <x:c r="A29" s="1" t="str">
        <x:v>MIXED</x:v>
      </x:c>
      <x:c r="B29" s="1" t="str">
        <x:v>Channel5</x:v>
      </x:c>
      <x:c r="C29" s="1" t="str">
        <x:v>P3</x:v>
      </x:c>
      <x:c r="D29" s="26" t="n">
        <x:v>0.0008022710371572035</x:v>
      </x:c>
      <x:c r="E29" s="26" t="n">
        <x:v>0.18107147930061754</x:v>
      </x:c>
      <x:c r="F29" s="26" t="n">
        <x:v>0.18107177241382727</x:v>
      </x:c>
      <x:c r="G29" s="26" t="n">
        <x:v>-0.9471614810860229</x:v>
      </x:c>
      <x:c r="H29" s="26" t="n">
        <x:v>1.4627838045234967</x:v>
      </x:c>
      <x:c r="I29" s="26" t="n">
        <x:v>0.11340188757013847</x:v>
      </x:c>
      <x:c r="J29" s="27" t="n">
        <x:v>4</x:v>
      </x:c>
      <x:c r="K29" s="28" t="n">
        <x:f>J29/L29</x:f>
        <x:v>0.00006557377049180328</x:v>
      </x:c>
      <x:c r="L29" s="27" t="n">
        <x:v>61000</x:v>
      </x:c>
    </x:row>
    <x:row r="30" ht="22" customHeight="1">
      <x:c r="A30" s="1" t="str">
        <x:v>MIXED</x:v>
      </x:c>
      <x:c r="B30" s="1" t="str">
        <x:v>Channel6</x:v>
      </x:c>
      <x:c r="C30" s="1" t="str">
        <x:v>P4</x:v>
      </x:c>
      <x:c r="D30" s="26" t="n">
        <x:v>0.000002046573739387081</x:v>
      </x:c>
      <x:c r="E30" s="26" t="n">
        <x:v>0.10636431793488572</x:v>
      </x:c>
      <x:c r="F30" s="26" t="n">
        <x:v>0.1063634461123304</x:v>
      </x:c>
      <x:c r="G30" s="26" t="n">
        <x:v>-0.3367633664767532</x:v>
      </x:c>
      <x:c r="H30" s="26" t="n">
        <x:v>0.23180282442344904</x:v>
      </x:c>
      <x:c r="I30" s="26" t="n">
        <x:v>0.08705646121590824</x:v>
      </x:c>
      <x:c r="J30" s="27" t="n">
        <x:v>0</x:v>
      </x:c>
      <x:c r="K30" s="28" t="n">
        <x:f>J30/L30</x:f>
        <x:v>0</x:v>
      </x:c>
      <x:c r="L30" s="27" t="n">
        <x:v>61000</x:v>
      </x:c>
    </x:row>
    <x:row r="31" ht="22" customHeight="1">
      <x:c r="A31" s="1" t="str">
        <x:v>RIGHT</x:v>
      </x:c>
      <x:c r="B31" s="1" t="str">
        <x:v>Channel1</x:v>
      </x:c>
      <x:c r="C31" s="1" t="str">
        <x:v>C3</x:v>
      </x:c>
      <x:c r="D31" s="26" t="n">
        <x:v>-0.000545293777094661</x:v>
      </x:c>
      <x:c r="E31" s="26" t="n">
        <x:v>0.12033947786640947</x:v>
      </x:c>
      <x:c r="F31" s="26" t="n">
        <x:v>0.12033978762143513</x:v>
      </x:c>
      <x:c r="G31" s="26" t="n">
        <x:v>-1.1109517364242967</x:v>
      </x:c>
      <x:c r="H31" s="26" t="n">
        <x:v>1.0521116726216357</x:v>
      </x:c>
      <x:c r="I31" s="26" t="n">
        <x:v>0.09709885754828763</x:v>
      </x:c>
      <x:c r="J31" s="27" t="n">
        <x:v>0</x:v>
      </x:c>
      <x:c r="K31" s="28" t="n">
        <x:f>J31/L31</x:f>
        <x:v>0</x:v>
      </x:c>
      <x:c r="L31" s="27" t="n">
        <x:v>65000</x:v>
      </x:c>
    </x:row>
    <x:row r="32" ht="22" customHeight="1">
      <x:c r="A32" s="1" t="str">
        <x:v>RIGHT</x:v>
      </x:c>
      <x:c r="B32" s="1" t="str">
        <x:v>Channel2</x:v>
      </x:c>
      <x:c r="C32" s="1" t="str">
        <x:v>C4</x:v>
      </x:c>
      <x:c r="D32" s="26" t="n">
        <x:v>-0.00029964211250590745</x:v>
      </x:c>
      <x:c r="E32" s="26" t="n">
        <x:v>0.12524009043135065</x:v>
      </x:c>
      <x:c r="F32" s="26" t="n">
        <x:v>0.12523948549767175</x:v>
      </x:c>
      <x:c r="G32" s="26" t="n">
        <x:v>-1.3216472282963965</x:v>
      </x:c>
      <x:c r="H32" s="26" t="n">
        <x:v>1.067770477289069</x:v>
      </x:c>
      <x:c r="I32" s="26" t="n">
        <x:v>0.08676767218037457</x:v>
      </x:c>
      <x:c r="J32" s="27" t="n">
        <x:v>5</x:v>
      </x:c>
      <x:c r="K32" s="28" t="n">
        <x:f>J32/L32</x:f>
        <x:v>0.00007692307692307693</x:v>
      </x:c>
      <x:c r="L32" s="27" t="n">
        <x:v>65000</x:v>
      </x:c>
    </x:row>
    <x:row r="33" ht="22" customHeight="1">
      <x:c r="A33" s="1" t="str">
        <x:v>RIGHT</x:v>
      </x:c>
      <x:c r="B33" s="1" t="str">
        <x:v>Channel3</x:v>
      </x:c>
      <x:c r="C33" s="1" t="str">
        <x:v>F3</x:v>
      </x:c>
      <x:c r="D33" s="26" t="n">
        <x:v>-0.0002848145245092435</x:v>
      </x:c>
      <x:c r="E33" s="26" t="n">
        <x:v>0.0679717533130903</x:v>
      </x:c>
      <x:c r="F33" s="26" t="n">
        <x:v>0.06797182716681904</x:v>
      </x:c>
      <x:c r="G33" s="26" t="n">
        <x:v>-0.9772508909430752</x:v>
      </x:c>
      <x:c r="H33" s="26" t="n">
        <x:v>1.3720240643959105</x:v>
      </x:c>
      <x:c r="I33" s="26" t="n">
        <x:v>0.034138119560557</x:v>
      </x:c>
      <x:c r="J33" s="27" t="n">
        <x:v>204</x:v>
      </x:c>
      <x:c r="K33" s="28" t="n">
        <x:f>J33/L33</x:f>
        <x:v>0.0031384615384615383</x:v>
      </x:c>
      <x:c r="L33" s="27" t="n">
        <x:v>65000</x:v>
      </x:c>
    </x:row>
    <x:row r="34" ht="22" customHeight="1">
      <x:c r="A34" s="1" t="str">
        <x:v>RIGHT</x:v>
      </x:c>
      <x:c r="B34" s="1" t="str">
        <x:v>Channel4</x:v>
      </x:c>
      <x:c r="C34" s="1" t="str">
        <x:v>F4</x:v>
      </x:c>
      <x:c r="D34" s="26" t="n">
        <x:v>-0.00008143346179882514</x:v>
      </x:c>
      <x:c r="E34" s="26" t="n">
        <x:v>0.03862179120671958</x:v>
      </x:c>
      <x:c r="F34" s="26" t="n">
        <x:v>0.038621579966050715</x:v>
      </x:c>
      <x:c r="G34" s="26" t="n">
        <x:v>-0.491792458771088</x:v>
      </x:c>
      <x:c r="H34" s="26" t="n">
        <x:v>0.5063164723041322</x:v>
      </x:c>
      <x:c r="I34" s="26" t="n">
        <x:v>0.01826518277283405</x:v>
      </x:c>
      <x:c r="J34" s="27" t="n">
        <x:v>63</x:v>
      </x:c>
      <x:c r="K34" s="28" t="n">
        <x:f>J34/L34</x:f>
        <x:v>0.0009692307692307692</x:v>
      </x:c>
      <x:c r="L34" s="27" t="n">
        <x:v>65000</x:v>
      </x:c>
    </x:row>
    <x:row r="35" ht="22" customHeight="1">
      <x:c r="A35" s="1" t="str">
        <x:v>RIGHT</x:v>
      </x:c>
      <x:c r="B35" s="1" t="str">
        <x:v>Channel5</x:v>
      </x:c>
      <x:c r="C35" s="1" t="str">
        <x:v>P3</x:v>
      </x:c>
      <x:c r="D35" s="26" t="n">
        <x:v>-0.00029844039406456236</x:v>
      </x:c>
      <x:c r="E35" s="26" t="n">
        <x:v>0.12642948879891505</x:v>
      </x:c>
      <x:c r="F35" s="26" t="n">
        <x:v>0.1264288685013714</x:v>
      </x:c>
      <x:c r="G35" s="26" t="n">
        <x:v>-1.216263098212219</x:v>
      </x:c>
      <x:c r="H35" s="26" t="n">
        <x:v>1.1536245589239882</x:v>
      </x:c>
      <x:c r="I35" s="26" t="n">
        <x:v>0.0951569290070979</x:v>
      </x:c>
      <x:c r="J35" s="27" t="n">
        <x:v>2</x:v>
      </x:c>
      <x:c r="K35" s="28" t="n">
        <x:f>J35/L35</x:f>
        <x:v>0.00003076923076923077</x:v>
      </x:c>
      <x:c r="L35" s="27" t="n">
        <x:v>65000</x:v>
      </x:c>
    </x:row>
    <x:row r="36" ht="22" customHeight="1">
      <x:c r="A36" s="1" t="str">
        <x:v>RIGHT</x:v>
      </x:c>
      <x:c r="B36" s="1" t="str">
        <x:v>Channel6</x:v>
      </x:c>
      <x:c r="C36" s="1" t="str">
        <x:v>P4</x:v>
      </x:c>
      <x:c r="D36" s="26" t="n">
        <x:v>-0.00013985867011631617</x:v>
      </x:c>
      <x:c r="E36" s="26" t="n">
        <x:v>0.035743015075652744</x:v>
      </x:c>
      <x:c r="F36" s="26" t="n">
        <x:v>0.03574301375553847</x:v>
      </x:c>
      <x:c r="G36" s="26" t="n">
        <x:v>-0.46600736801162856</x:v>
      </x:c>
      <x:c r="H36" s="26" t="n">
        <x:v>0.5304499729400745</x:v>
      </x:c>
      <x:c r="I36" s="26" t="n">
        <x:v>0.015507709005142697</x:v>
      </x:c>
      <x:c r="J36" s="27" t="n">
        <x:v>156</x:v>
      </x:c>
      <x:c r="K36" s="28" t="n">
        <x:f>J36/L36</x:f>
        <x:v>0.0024</x:v>
      </x:c>
      <x:c r="L36" s="27" t="n">
        <x:v>65000</x:v>
      </x:c>
    </x:row>
    <x:row r="37" ht="22" customHeight="1">
      <x:c r="A37" s="1" t="str">
        <x:v>LEFT</x:v>
      </x:c>
      <x:c r="B37" s="1" t="str">
        <x:v>Channel1</x:v>
      </x:c>
      <x:c r="C37" s="1" t="str">
        <x:v>C3</x:v>
      </x:c>
      <x:c r="D37" s="26" t="n">
        <x:v>0.00008505862837518549</x:v>
      </x:c>
      <x:c r="E37" s="26" t="n">
        <x:v>0.06516561377831752</x:v>
      </x:c>
      <x:c r="F37" s="26" t="n">
        <x:v>0.06516513514436222</x:v>
      </x:c>
      <x:c r="G37" s="26" t="n">
        <x:v>-1.2115448609568449</x:v>
      </x:c>
      <x:c r="H37" s="26" t="n">
        <x:v>0.6812172587811505</x:v>
      </x:c>
      <x:c r="I37" s="26" t="n">
        <x:v>0.029213908101766536</x:v>
      </x:c>
      <x:c r="J37" s="27" t="n">
        <x:v>29</x:v>
      </x:c>
      <x:c r="K37" s="28" t="n">
        <x:f>J37/L37</x:f>
        <x:v>0.00047540983606557375</x:v>
      </x:c>
      <x:c r="L37" s="27" t="n">
        <x:v>61000</x:v>
      </x:c>
    </x:row>
    <x:row r="38" ht="22" customHeight="1">
      <x:c r="A38" s="1" t="str">
        <x:v>LEFT</x:v>
      </x:c>
      <x:c r="B38" s="1" t="str">
        <x:v>Channel2</x:v>
      </x:c>
      <x:c r="C38" s="1" t="str">
        <x:v>C4</x:v>
      </x:c>
      <x:c r="D38" s="26" t="n">
        <x:v>0.00011618303262690516</x:v>
      </x:c>
      <x:c r="E38" s="26" t="n">
        <x:v>0.05824219667195703</x:v>
      </x:c>
      <x:c r="F38" s="26" t="n">
        <x:v>0.058241835158231926</x:v>
      </x:c>
      <x:c r="G38" s="26" t="n">
        <x:v>-1.1937557029923926</x:v>
      </x:c>
      <x:c r="H38" s="26" t="n">
        <x:v>0.6460646693223975</x:v>
      </x:c>
      <x:c r="I38" s="26" t="n">
        <x:v>0.025639831765950902</x:v>
      </x:c>
      <x:c r="J38" s="27" t="n">
        <x:v>44</x:v>
      </x:c>
      <x:c r="K38" s="28" t="n">
        <x:f>J38/L38</x:f>
        <x:v>0.000721311475409836</x:v>
      </x:c>
      <x:c r="L38" s="27" t="n">
        <x:v>61000</x:v>
      </x:c>
    </x:row>
    <x:row r="39" ht="22" customHeight="1">
      <x:c r="A39" s="1" t="str">
        <x:v>LEFT</x:v>
      </x:c>
      <x:c r="B39" s="1" t="str">
        <x:v>Channel3</x:v>
      </x:c>
      <x:c r="C39" s="1" t="str">
        <x:v>F3</x:v>
      </x:c>
      <x:c r="D39" s="26" t="n">
        <x:v>0.0000072287116810965</x:v>
      </x:c>
      <x:c r="E39" s="26" t="n">
        <x:v>0.08776657541263815</x:v>
      </x:c>
      <x:c r="F39" s="26" t="n">
        <x:v>0.08776585630922201</x:v>
      </x:c>
      <x:c r="G39" s="26" t="n">
        <x:v>-1.005581373572383</x:v>
      </x:c>
      <x:c r="H39" s="26" t="n">
        <x:v>0.6731721972513851</x:v>
      </x:c>
      <x:c r="I39" s="26" t="n">
        <x:v>0.05889095571549571</x:v>
      </x:c>
      <x:c r="J39" s="27" t="n">
        <x:v>3</x:v>
      </x:c>
      <x:c r="K39" s="28" t="n">
        <x:f>J39/L39</x:f>
        <x:v>0.000049180327868852456</x:v>
      </x:c>
      <x:c r="L39" s="27" t="n">
        <x:v>61000</x:v>
      </x:c>
    </x:row>
    <x:row r="40" ht="22" customHeight="1">
      <x:c r="A40" s="1" t="str">
        <x:v>LEFT</x:v>
      </x:c>
      <x:c r="B40" s="1" t="str">
        <x:v>Channel4</x:v>
      </x:c>
      <x:c r="C40" s="1" t="str">
        <x:v>F4</x:v>
      </x:c>
      <x:c r="D40" s="26" t="n">
        <x:v>-0.000005678170387407854</x:v>
      </x:c>
      <x:c r="E40" s="26" t="n">
        <x:v>0.05186919094579582</x:v>
      </x:c>
      <x:c r="F40" s="26" t="n">
        <x:v>0.051868766097550464</x:v>
      </x:c>
      <x:c r="G40" s="26" t="n">
        <x:v>-0.6796765740907564</x:v>
      </x:c>
      <x:c r="H40" s="26" t="n">
        <x:v>0.5028490377307966</x:v>
      </x:c>
      <x:c r="I40" s="26" t="n">
        <x:v>0.02431253229620447</x:v>
      </x:c>
      <x:c r="J40" s="27" t="n">
        <x:v>16</x:v>
      </x:c>
      <x:c r="K40" s="28" t="n">
        <x:f>J40/L40</x:f>
        <x:v>0.00026229508196721314</x:v>
      </x:c>
      <x:c r="L40" s="27" t="n">
        <x:v>61000</x:v>
      </x:c>
    </x:row>
    <x:row r="41" ht="22" customHeight="1">
      <x:c r="A41" s="1" t="str">
        <x:v>LEFT</x:v>
      </x:c>
      <x:c r="B41" s="1" t="str">
        <x:v>Channel5</x:v>
      </x:c>
      <x:c r="C41" s="1" t="str">
        <x:v>P3</x:v>
      </x:c>
      <x:c r="D41" s="26" t="n">
        <x:v>0.00011302053638307404</x:v>
      </x:c>
      <x:c r="E41" s="26" t="n">
        <x:v>0.12560633700406074</x:v>
      </x:c>
      <x:c r="F41" s="26" t="n">
        <x:v>0.12560535828802707</x:v>
      </x:c>
      <x:c r="G41" s="26" t="n">
        <x:v>-1.2083237022790367</x:v>
      </x:c>
      <x:c r="H41" s="26" t="n">
        <x:v>0.5606054552570798</x:v>
      </x:c>
      <x:c r="I41" s="26" t="n">
        <x:v>0.09120147527124348</x:v>
      </x:c>
      <x:c r="J41" s="27" t="n">
        <x:v>2</x:v>
      </x:c>
      <x:c r="K41" s="28" t="n">
        <x:f>J41/L41</x:f>
        <x:v>0.00003278688524590164</x:v>
      </x:c>
      <x:c r="L41" s="27" t="n">
        <x:v>61000</x:v>
      </x:c>
    </x:row>
    <x:row r="42" ht="22" customHeight="1">
      <x:c r="A42" s="1" t="str">
        <x:v>LEFT</x:v>
      </x:c>
      <x:c r="B42" s="1" t="str">
        <x:v>Channel6</x:v>
      </x:c>
      <x:c r="C42" s="1" t="str">
        <x:v>P4</x:v>
      </x:c>
      <x:c r="D42" s="26" t="n">
        <x:v>0.00002505067905100796</x:v>
      </x:c>
      <x:c r="E42" s="26" t="n">
        <x:v>0.0392467236068628</x:v>
      </x:c>
      <x:c r="F42" s="26" t="n">
        <x:v>0.03924640990591647</x:v>
      </x:c>
      <x:c r="G42" s="26" t="n">
        <x:v>-0.5539740793981949</x:v>
      </x:c>
      <x:c r="H42" s="26" t="n">
        <x:v>0.3878097394183637</x:v>
      </x:c>
      <x:c r="I42" s="26" t="n">
        <x:v>0.018087862674639743</x:v>
      </x:c>
      <x:c r="J42" s="27" t="n">
        <x:v>20</x:v>
      </x:c>
      <x:c r="K42" s="28" t="n">
        <x:f>J42/L42</x:f>
        <x:v>0.0003278688524590164</x:v>
      </x:c>
      <x:c r="L42" s="27" t="n">
        <x:v>61000</x:v>
      </x:c>
    </x:row>
  </x:sheetData>
  <x:pageMargins left="0.7" right="0.7" top="0.75" bottom="0.75" header="0.3" footer="0.3"/>
</x:worksheet>
</file>